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" sheetId="1" state="visible" r:id="rId1"/>
    <sheet xmlns:r="http://schemas.openxmlformats.org/officeDocument/2006/relationships" name="Summary 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Task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B4C7E"/>
      <sz val="16"/>
    </font>
    <font>
      <name val="Calibri"/>
      <i val="1"/>
      <color rgb="00555555"/>
      <sz val="11"/>
    </font>
    <font>
      <name val="Calibri"/>
      <b val="1"/>
      <color rgb="00555555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9FAFC"/>
        <bgColor rgb="00F9FAFC"/>
      </patternFill>
    </fill>
    <fill>
      <patternFill patternType="solid">
        <fgColor rgb="00F4F6F9"/>
        <bgColor rgb="00F4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2" fillId="0" borderId="1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Marks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Data'!$A$2:$A$6</f>
            </numRef>
          </cat>
          <val>
            <numRef>
              <f>'Summary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 Data'!B7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Data'!$A$8:$A$12</f>
            </numRef>
          </cat>
          <val>
            <numRef>
              <f>'Summary Data'!$B$8:$B$12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77" customWidth="1" min="10" max="10"/>
    <col width="39" customWidth="1" min="11" max="11"/>
  </cols>
  <sheetData>
    <row r="1" ht="28" customHeight="1">
      <c r="A1" s="1" t="inlineStr">
        <is>
          <t>Student ID</t>
        </is>
      </c>
      <c r="B1" s="1" t="inlineStr">
        <is>
          <t>Student Name</t>
        </is>
      </c>
      <c r="C1" s="1" t="inlineStr">
        <is>
          <t>Mathematics</t>
        </is>
      </c>
      <c r="D1" s="1" t="inlineStr">
        <is>
          <t>Science</t>
        </is>
      </c>
      <c r="E1" s="1" t="inlineStr">
        <is>
          <t>English</t>
        </is>
      </c>
      <c r="F1" s="1" t="inlineStr">
        <is>
          <t>History</t>
        </is>
      </c>
      <c r="G1" s="1" t="inlineStr">
        <is>
          <t>Computer Science</t>
        </is>
      </c>
      <c r="H1" s="1" t="inlineStr">
        <is>
          <t>Total Marks</t>
        </is>
      </c>
      <c r="I1" s="1" t="inlineStr">
        <is>
          <t>Percentage</t>
        </is>
      </c>
      <c r="J1" s="1" t="inlineStr">
        <is>
          <t>Grade</t>
        </is>
      </c>
      <c r="K1" s="1" t="inlineStr">
        <is>
          <t>Result</t>
        </is>
      </c>
    </row>
    <row r="2" ht="20" customHeight="1">
      <c r="A2" s="2" t="n">
        <v>101</v>
      </c>
      <c r="B2" s="3" t="inlineStr">
        <is>
          <t>Aarav Sharma</t>
        </is>
      </c>
      <c r="C2" s="4" t="n">
        <v>85</v>
      </c>
      <c r="D2" s="4" t="n">
        <v>90</v>
      </c>
      <c r="E2" s="4" t="n">
        <v>78</v>
      </c>
      <c r="F2" s="4" t="n">
        <v>88</v>
      </c>
      <c r="G2" s="4" t="n">
        <v>92</v>
      </c>
      <c r="H2" s="4">
        <f>SUM(C2:G2)</f>
        <v/>
      </c>
      <c r="I2" s="5">
        <f>H2/500</f>
        <v/>
      </c>
      <c r="J2" s="2">
        <f>IF(I2&gt;=0.9,"A+",IF(I2&gt;=0.8,"A",IF(I2&gt;=0.7,"B",IF(I2&gt;=0.6,"C","D"))))</f>
        <v/>
      </c>
      <c r="K2" s="2">
        <f>IF(MIN(C2:G2)&gt;=40,"Pass","Fail")</f>
        <v/>
      </c>
    </row>
    <row r="3" ht="20" customHeight="1">
      <c r="A3" s="6" t="n">
        <v>102</v>
      </c>
      <c r="B3" s="7" t="inlineStr">
        <is>
          <t>Diya Patel</t>
        </is>
      </c>
      <c r="C3" s="8" t="n">
        <v>92</v>
      </c>
      <c r="D3" s="8" t="n">
        <v>95</v>
      </c>
      <c r="E3" s="8" t="n">
        <v>88</v>
      </c>
      <c r="F3" s="8" t="n">
        <v>94</v>
      </c>
      <c r="G3" s="8" t="n">
        <v>90</v>
      </c>
      <c r="H3" s="8">
        <f>SUM(C3:G3)</f>
        <v/>
      </c>
      <c r="I3" s="9">
        <f>H3/500</f>
        <v/>
      </c>
      <c r="J3" s="6">
        <f>IF(I3&gt;=0.9,"A+",IF(I3&gt;=0.8,"A",IF(I3&gt;=0.7,"B",IF(I3&gt;=0.6,"C","D"))))</f>
        <v/>
      </c>
      <c r="K3" s="6">
        <f>IF(MIN(C3:G3)&gt;=40,"Pass","Fail")</f>
        <v/>
      </c>
    </row>
    <row r="4" ht="20" customHeight="1">
      <c r="A4" s="2" t="n">
        <v>103</v>
      </c>
      <c r="B4" s="3" t="inlineStr">
        <is>
          <t>Rohan Gupta</t>
        </is>
      </c>
      <c r="C4" s="4" t="n">
        <v>70</v>
      </c>
      <c r="D4" s="4" t="n">
        <v>65</v>
      </c>
      <c r="E4" s="4" t="n">
        <v>72</v>
      </c>
      <c r="F4" s="4" t="n">
        <v>68</v>
      </c>
      <c r="G4" s="4" t="n">
        <v>75</v>
      </c>
      <c r="H4" s="4">
        <f>SUM(C4:G4)</f>
        <v/>
      </c>
      <c r="I4" s="5">
        <f>H4/500</f>
        <v/>
      </c>
      <c r="J4" s="2">
        <f>IF(I4&gt;=0.9,"A+",IF(I4&gt;=0.8,"A",IF(I4&gt;=0.7,"B",IF(I4&gt;=0.6,"C","D"))))</f>
        <v/>
      </c>
      <c r="K4" s="2">
        <f>IF(MIN(C4:G4)&gt;=40,"Pass","Fail")</f>
        <v/>
      </c>
    </row>
    <row r="5" ht="20" customHeight="1">
      <c r="A5" s="6" t="n">
        <v>104</v>
      </c>
      <c r="B5" s="7" t="inlineStr">
        <is>
          <t>Ananya Singh</t>
        </is>
      </c>
      <c r="C5" s="8" t="n">
        <v>88</v>
      </c>
      <c r="D5" s="8" t="n">
        <v>82</v>
      </c>
      <c r="E5" s="8" t="n">
        <v>90</v>
      </c>
      <c r="F5" s="8" t="n">
        <v>85</v>
      </c>
      <c r="G5" s="8" t="n">
        <v>89</v>
      </c>
      <c r="H5" s="8">
        <f>SUM(C5:G5)</f>
        <v/>
      </c>
      <c r="I5" s="9">
        <f>H5/500</f>
        <v/>
      </c>
      <c r="J5" s="6">
        <f>IF(I5&gt;=0.9,"A+",IF(I5&gt;=0.8,"A",IF(I5&gt;=0.7,"B",IF(I5&gt;=0.6,"C","D"))))</f>
        <v/>
      </c>
      <c r="K5" s="6">
        <f>IF(MIN(C5:G5)&gt;=40,"Pass","Fail")</f>
        <v/>
      </c>
    </row>
    <row r="6" ht="20" customHeight="1">
      <c r="A6" s="2" t="n">
        <v>105</v>
      </c>
      <c r="B6" s="3" t="inlineStr">
        <is>
          <t>Kabir Verma</t>
        </is>
      </c>
      <c r="C6" s="4" t="n">
        <v>75</v>
      </c>
      <c r="D6" s="4" t="n">
        <v>80</v>
      </c>
      <c r="E6" s="4" t="n">
        <v>68</v>
      </c>
      <c r="F6" s="4" t="n">
        <v>72</v>
      </c>
      <c r="G6" s="4" t="n">
        <v>78</v>
      </c>
      <c r="H6" s="4">
        <f>SUM(C6:G6)</f>
        <v/>
      </c>
      <c r="I6" s="5">
        <f>H6/500</f>
        <v/>
      </c>
      <c r="J6" s="2">
        <f>IF(I6&gt;=0.9,"A+",IF(I6&gt;=0.8,"A",IF(I6&gt;=0.7,"B",IF(I6&gt;=0.6,"C","D"))))</f>
        <v/>
      </c>
      <c r="K6" s="2">
        <f>IF(MIN(C6:G6)&gt;=40,"Pass","Fail")</f>
        <v/>
      </c>
    </row>
    <row r="7" ht="20" customHeight="1">
      <c r="A7" s="6" t="n">
        <v>106</v>
      </c>
      <c r="B7" s="7" t="inlineStr">
        <is>
          <t>Meera Iyer</t>
        </is>
      </c>
      <c r="C7" s="8" t="n">
        <v>95</v>
      </c>
      <c r="D7" s="8" t="n">
        <v>98</v>
      </c>
      <c r="E7" s="8" t="n">
        <v>92</v>
      </c>
      <c r="F7" s="8" t="n">
        <v>96</v>
      </c>
      <c r="G7" s="8" t="n">
        <v>95</v>
      </c>
      <c r="H7" s="8">
        <f>SUM(C7:G7)</f>
        <v/>
      </c>
      <c r="I7" s="9">
        <f>H7/500</f>
        <v/>
      </c>
      <c r="J7" s="6">
        <f>IF(I7&gt;=0.9,"A+",IF(I7&gt;=0.8,"A",IF(I7&gt;=0.7,"B",IF(I7&gt;=0.6,"C","D"))))</f>
        <v/>
      </c>
      <c r="K7" s="6">
        <f>IF(MIN(C7:G7)&gt;=40,"Pass","Fail")</f>
        <v/>
      </c>
    </row>
    <row r="8" ht="20" customHeight="1">
      <c r="A8" s="2" t="n">
        <v>107</v>
      </c>
      <c r="B8" s="3" t="inlineStr">
        <is>
          <t>Arjun Nair</t>
        </is>
      </c>
      <c r="C8" s="4" t="n">
        <v>60</v>
      </c>
      <c r="D8" s="4" t="n">
        <v>55</v>
      </c>
      <c r="E8" s="4" t="n">
        <v>65</v>
      </c>
      <c r="F8" s="4" t="n">
        <v>58</v>
      </c>
      <c r="G8" s="4" t="n">
        <v>62</v>
      </c>
      <c r="H8" s="4">
        <f>SUM(C8:G8)</f>
        <v/>
      </c>
      <c r="I8" s="5">
        <f>H8/500</f>
        <v/>
      </c>
      <c r="J8" s="2">
        <f>IF(I8&gt;=0.9,"A+",IF(I8&gt;=0.8,"A",IF(I8&gt;=0.7,"B",IF(I8&gt;=0.6,"C","D"))))</f>
        <v/>
      </c>
      <c r="K8" s="2">
        <f>IF(MIN(C8:G8)&gt;=40,"Pass","Fail")</f>
        <v/>
      </c>
    </row>
    <row r="9" ht="20" customHeight="1">
      <c r="A9" s="6" t="n">
        <v>108</v>
      </c>
      <c r="B9" s="7" t="inlineStr">
        <is>
          <t>Priya Das</t>
        </is>
      </c>
      <c r="C9" s="8" t="n">
        <v>82</v>
      </c>
      <c r="D9" s="8" t="n">
        <v>85</v>
      </c>
      <c r="E9" s="8" t="n">
        <v>80</v>
      </c>
      <c r="F9" s="8" t="n">
        <v>84</v>
      </c>
      <c r="G9" s="8" t="n">
        <v>86</v>
      </c>
      <c r="H9" s="8">
        <f>SUM(C9:G9)</f>
        <v/>
      </c>
      <c r="I9" s="9">
        <f>H9/500</f>
        <v/>
      </c>
      <c r="J9" s="6">
        <f>IF(I9&gt;=0.9,"A+",IF(I9&gt;=0.8,"A",IF(I9&gt;=0.7,"B",IF(I9&gt;=0.6,"C","D"))))</f>
        <v/>
      </c>
      <c r="K9" s="6">
        <f>IF(MIN(C9:G9)&gt;=40,"Pass","Fail")</f>
        <v/>
      </c>
    </row>
    <row r="10" ht="20" customHeight="1">
      <c r="A10" s="2" t="n">
        <v>109</v>
      </c>
      <c r="B10" s="3" t="inlineStr">
        <is>
          <t>Vikram Malhotra</t>
        </is>
      </c>
      <c r="C10" s="4" t="n">
        <v>78</v>
      </c>
      <c r="D10" s="4" t="n">
        <v>72</v>
      </c>
      <c r="E10" s="4" t="n">
        <v>75</v>
      </c>
      <c r="F10" s="4" t="n">
        <v>80</v>
      </c>
      <c r="G10" s="4" t="n">
        <v>74</v>
      </c>
      <c r="H10" s="4">
        <f>SUM(C10:G10)</f>
        <v/>
      </c>
      <c r="I10" s="5">
        <f>H10/500</f>
        <v/>
      </c>
      <c r="J10" s="2">
        <f>IF(I10&gt;=0.9,"A+",IF(I10&gt;=0.8,"A",IF(I10&gt;=0.7,"B",IF(I10&gt;=0.6,"C","D"))))</f>
        <v/>
      </c>
      <c r="K10" s="2">
        <f>IF(MIN(C10:G10)&gt;=40,"Pass","Fail")</f>
        <v/>
      </c>
    </row>
    <row r="11" ht="20" customHeight="1">
      <c r="A11" s="6" t="n">
        <v>110</v>
      </c>
      <c r="B11" s="7" t="inlineStr">
        <is>
          <t>Neha Joshi</t>
        </is>
      </c>
      <c r="C11" s="8" t="n">
        <v>90</v>
      </c>
      <c r="D11" s="8" t="n">
        <v>88</v>
      </c>
      <c r="E11" s="8" t="n">
        <v>85</v>
      </c>
      <c r="F11" s="8" t="n">
        <v>92</v>
      </c>
      <c r="G11" s="8" t="n">
        <v>91</v>
      </c>
      <c r="H11" s="8">
        <f>SUM(C11:G11)</f>
        <v/>
      </c>
      <c r="I11" s="9">
        <f>H11/500</f>
        <v/>
      </c>
      <c r="J11" s="6">
        <f>IF(I11&gt;=0.9,"A+",IF(I11&gt;=0.8,"A",IF(I11&gt;=0.7,"B",IF(I11&gt;=0.6,"C","D"))))</f>
        <v/>
      </c>
      <c r="K11" s="6">
        <f>IF(MIN(C11:G11)&gt;=40,"Pass","Fail")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0" t="inlineStr">
        <is>
          <t>Subject</t>
        </is>
      </c>
      <c r="B1" s="10" t="inlineStr">
        <is>
          <t>Average Marks</t>
        </is>
      </c>
    </row>
    <row r="2">
      <c r="A2" t="inlineStr">
        <is>
          <t>Mathematics</t>
        </is>
      </c>
      <c r="B2">
        <f>AVERAGE('Student Performance'!C2:C11)</f>
        <v/>
      </c>
    </row>
    <row r="3">
      <c r="A3" t="inlineStr">
        <is>
          <t>Science</t>
        </is>
      </c>
      <c r="B3">
        <f>AVERAGE('Student Performance'!D2:D11)</f>
        <v/>
      </c>
    </row>
    <row r="4">
      <c r="A4" t="inlineStr">
        <is>
          <t>English</t>
        </is>
      </c>
      <c r="B4">
        <f>AVERAGE('Student Performance'!E2:E11)</f>
        <v/>
      </c>
    </row>
    <row r="5">
      <c r="A5" t="inlineStr">
        <is>
          <t>History</t>
        </is>
      </c>
      <c r="B5">
        <f>AVERAGE('Student Performance'!F2:F11)</f>
        <v/>
      </c>
    </row>
    <row r="6">
      <c r="A6" t="inlineStr">
        <is>
          <t>Computer Science</t>
        </is>
      </c>
      <c r="B6">
        <f>AVERAGE('Student Performance'!G2:G11)</f>
        <v/>
      </c>
    </row>
    <row r="7">
      <c r="A7" s="10" t="inlineStr">
        <is>
          <t>Grade</t>
        </is>
      </c>
      <c r="B7" s="10" t="inlineStr">
        <is>
          <t>Count</t>
        </is>
      </c>
    </row>
    <row r="8">
      <c r="A8" t="inlineStr">
        <is>
          <t>A+</t>
        </is>
      </c>
      <c r="B8">
        <f>COUNTIF('Student Performance'!$J$2:$J$11, "A+")</f>
        <v/>
      </c>
    </row>
    <row r="9">
      <c r="A9" t="inlineStr">
        <is>
          <t>A</t>
        </is>
      </c>
      <c r="B9">
        <f>COUNTIF('Student Performance'!$J$2:$J$11, "A")</f>
        <v/>
      </c>
    </row>
    <row r="10">
      <c r="A10" t="inlineStr">
        <is>
          <t>B</t>
        </is>
      </c>
      <c r="B10">
        <f>COUNTIF('Student Performance'!$J$2:$J$11, "B")</f>
        <v/>
      </c>
    </row>
    <row r="11">
      <c r="A11" t="inlineStr">
        <is>
          <t>C</t>
        </is>
      </c>
      <c r="B11">
        <f>COUNTIF('Student Performance'!$J$2:$J$11, "C")</f>
        <v/>
      </c>
    </row>
    <row r="12">
      <c r="A12" t="inlineStr">
        <is>
          <t>D</t>
        </is>
      </c>
      <c r="B12">
        <f>COUNTIF('Student Performance'!$J$2:$J$11, "D")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42" customWidth="1" min="5" max="5"/>
    <col width="12" customWidth="1" min="6" max="6"/>
    <col width="12" customWidth="1" min="7" max="7"/>
    <col width="87" customWidth="1" min="8" max="8"/>
    <col width="12" customWidth="1" min="9" max="9"/>
  </cols>
  <sheetData>
    <row r="1">
      <c r="A1" s="11" t="inlineStr">
        <is>
          <t>Student Performance Executive Dashboard</t>
        </is>
      </c>
    </row>
    <row r="2">
      <c r="A2" s="12" t="inlineStr">
        <is>
          <t>Overview of student marks, subject averages, and grade distributions.</t>
        </is>
      </c>
    </row>
    <row r="3"/>
    <row r="4">
      <c r="B4" s="13" t="inlineStr">
        <is>
          <t>Total Students</t>
        </is>
      </c>
      <c r="C4" s="14" t="n"/>
      <c r="E4" s="13" t="inlineStr">
        <is>
          <t>Class Average</t>
        </is>
      </c>
      <c r="F4" s="14" t="n"/>
      <c r="H4" s="13" t="inlineStr">
        <is>
          <t>Pass Percentage</t>
        </is>
      </c>
      <c r="I4" s="14" t="n"/>
    </row>
    <row r="5">
      <c r="B5" s="15">
        <f>COUNTA('Student Performance'!A2:A11)</f>
        <v/>
      </c>
      <c r="C5" s="14" t="n"/>
      <c r="E5" s="16">
        <f>AVERAGE('Student Performance'!I2:I11)</f>
        <v/>
      </c>
      <c r="F5" s="14" t="n"/>
      <c r="H5" s="16">
        <f>COUNTIF('Student Performance'!K2:K11, "Pass")/COUNTA('Student Performance'!K2:K11)</f>
        <v/>
      </c>
      <c r="I5" s="14" t="n"/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1" t="inlineStr">
        <is>
          <t>Workbook Instructions &amp; Guidelines</t>
        </is>
      </c>
    </row>
    <row r="2">
      <c r="A2" s="12" t="inlineStr">
        <is>
          <t>Follow these steps to import, clean, analyze, and maintain the student performance workbook.</t>
        </is>
      </c>
    </row>
    <row r="3"/>
    <row r="4">
      <c r="A4" s="10" t="inlineStr">
        <is>
          <t>Step</t>
        </is>
      </c>
      <c r="B4" s="10" t="inlineStr">
        <is>
          <t>Description</t>
        </is>
      </c>
    </row>
    <row r="5" ht="28" customHeight="1">
      <c r="A5" s="17" t="inlineStr">
        <is>
          <t>Step 1: Data Import</t>
        </is>
      </c>
      <c r="B5" s="18" t="inlineStr">
        <is>
          <t>Export raw student records from the school SIS system in CSV format. Ensure columns match the Student Performance tab headers (ID, Name, Subject Marks).</t>
        </is>
      </c>
    </row>
    <row r="6" ht="28" customHeight="1">
      <c r="A6" s="17" t="inlineStr">
        <is>
          <t>Step 2: Data Cleaning</t>
        </is>
      </c>
      <c r="B6" s="18" t="inlineStr">
        <is>
          <t>Check for missing marks, trailing spaces in student names, and ensure all IDs are unique 3-digit integers. Remove any duplicate entries.</t>
        </is>
      </c>
    </row>
    <row r="7" ht="28" customHeight="1">
      <c r="A7" s="17" t="inlineStr">
        <is>
          <t>Step 3: Analysis &amp; Formulas</t>
        </is>
      </c>
      <c r="B7" s="18" t="inlineStr">
        <is>
          <t>Total marks, percentages, grades, and pass/fail statuses are automated using formulas (SUM, AVERAGE, IF). Do not hardcode calculated columns.</t>
        </is>
      </c>
    </row>
    <row r="8" ht="28" customHeight="1">
      <c r="A8" s="17" t="inlineStr">
        <is>
          <t>Step 4: Dashboard Monitoring</t>
        </is>
      </c>
      <c r="B8" s="18" t="inlineStr">
        <is>
          <t>Review the Dashboard tab regularly to monitor class performance KPIs, subject averages, and grade distributions. Charts update dynamically when marks change.</t>
        </is>
      </c>
    </row>
    <row r="9" ht="28" customHeight="1">
      <c r="A9" s="17" t="inlineStr">
        <is>
          <t>Step 5: Reporting &amp; Export</t>
        </is>
      </c>
      <c r="B9" s="18" t="inlineStr">
        <is>
          <t>To share reports with administration, export individual tabs to PDF or print the Dashboard tab directly in landscape orientation.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3" customWidth="1" min="4" max="4"/>
    <col width="15" customWidth="1" min="5" max="5"/>
  </cols>
  <sheetData>
    <row r="1">
      <c r="A1" s="11" t="inlineStr">
        <is>
          <t>Project Task Checklist</t>
        </is>
      </c>
    </row>
    <row r="2">
      <c r="A2" s="12" t="inlineStr">
        <is>
          <t>Track the 7 core project tasks, time estimates, weightages, and completion statuses.</t>
        </is>
      </c>
    </row>
    <row r="3"/>
    <row r="4" ht="26" customHeight="1">
      <c r="A4" s="19" t="inlineStr">
        <is>
          <t>Task ID</t>
        </is>
      </c>
      <c r="B4" s="19" t="inlineStr">
        <is>
          <t>Task Description</t>
        </is>
      </c>
      <c r="C4" s="19" t="inlineStr">
        <is>
          <t>Time Estimate</t>
        </is>
      </c>
      <c r="D4" s="19" t="inlineStr">
        <is>
          <t>Weightage</t>
        </is>
      </c>
      <c r="E4" s="19" t="inlineStr">
        <is>
          <t>Status</t>
        </is>
      </c>
    </row>
    <row r="5" ht="22" customHeight="1">
      <c r="A5" s="6" t="n">
        <v>1</v>
      </c>
      <c r="B5" s="7" t="inlineStr">
        <is>
          <t>Requirement Analysis &amp; Scope Definition</t>
        </is>
      </c>
      <c r="C5" s="6" t="inlineStr">
        <is>
          <t>3 Days</t>
        </is>
      </c>
      <c r="D5" s="6" t="inlineStr">
        <is>
          <t>10%</t>
        </is>
      </c>
      <c r="E5" s="6" t="inlineStr">
        <is>
          <t>Completed</t>
        </is>
      </c>
    </row>
    <row r="6" ht="22" customHeight="1">
      <c r="A6" s="2" t="n">
        <v>2</v>
      </c>
      <c r="B6" s="3" t="inlineStr">
        <is>
          <t>Student Data Collection &amp; Formatting</t>
        </is>
      </c>
      <c r="C6" s="2" t="inlineStr">
        <is>
          <t>4 Days</t>
        </is>
      </c>
      <c r="D6" s="2" t="inlineStr">
        <is>
          <t>15%</t>
        </is>
      </c>
      <c r="E6" s="2" t="inlineStr">
        <is>
          <t>Completed</t>
        </is>
      </c>
    </row>
    <row r="7" ht="22" customHeight="1">
      <c r="A7" s="6" t="n">
        <v>3</v>
      </c>
      <c r="B7" s="7" t="inlineStr">
        <is>
          <t>Formula Implementation (Grades &amp; Totals)</t>
        </is>
      </c>
      <c r="C7" s="6" t="inlineStr">
        <is>
          <t>2 Days</t>
        </is>
      </c>
      <c r="D7" s="6" t="inlineStr">
        <is>
          <t>15%</t>
        </is>
      </c>
      <c r="E7" s="6" t="inlineStr">
        <is>
          <t>Completed</t>
        </is>
      </c>
    </row>
    <row r="8" ht="22" customHeight="1">
      <c r="A8" s="2" t="n">
        <v>4</v>
      </c>
      <c r="B8" s="3" t="inlineStr">
        <is>
          <t>Dashboard KPI &amp; Chart Integration</t>
        </is>
      </c>
      <c r="C8" s="2" t="inlineStr">
        <is>
          <t>3 Days</t>
        </is>
      </c>
      <c r="D8" s="2" t="inlineStr">
        <is>
          <t>20%</t>
        </is>
      </c>
      <c r="E8" s="2" t="inlineStr">
        <is>
          <t>In Progress</t>
        </is>
      </c>
    </row>
    <row r="9" ht="22" customHeight="1">
      <c r="A9" s="6" t="n">
        <v>5</v>
      </c>
      <c r="B9" s="7" t="inlineStr">
        <is>
          <t>Instruction &amp; Documentation Writing</t>
        </is>
      </c>
      <c r="C9" s="6" t="inlineStr">
        <is>
          <t>2 Days</t>
        </is>
      </c>
      <c r="D9" s="6" t="inlineStr">
        <is>
          <t>10%</t>
        </is>
      </c>
      <c r="E9" s="6" t="inlineStr">
        <is>
          <t>Not Started</t>
        </is>
      </c>
    </row>
    <row r="10" ht="22" customHeight="1">
      <c r="A10" s="2" t="n">
        <v>6</v>
      </c>
      <c r="B10" s="3" t="inlineStr">
        <is>
          <t>Quality Assurance &amp; Formula Testing</t>
        </is>
      </c>
      <c r="C10" s="2" t="inlineStr">
        <is>
          <t>2 Days</t>
        </is>
      </c>
      <c r="D10" s="2" t="inlineStr">
        <is>
          <t>15%</t>
        </is>
      </c>
      <c r="E10" s="2" t="inlineStr">
        <is>
          <t>Not Started</t>
        </is>
      </c>
    </row>
    <row r="11" ht="22" customHeight="1">
      <c r="A11" s="6" t="n">
        <v>7</v>
      </c>
      <c r="B11" s="7" t="inlineStr">
        <is>
          <t>Final Stakeholder Review &amp; Handover</t>
        </is>
      </c>
      <c r="C11" s="6" t="inlineStr">
        <is>
          <t>1 Day</t>
        </is>
      </c>
      <c r="D11" s="6" t="inlineStr">
        <is>
          <t>15%</t>
        </is>
      </c>
      <c r="E11" s="6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2026-10-13T05:52:32Z</dcterms:created>
  <dcterms:modified xmlns:dcterms="http://purl.org/dc/terms/" xmlns:xsi="http://www.w3.org/2001/XMLSchema-instance" xsi:type="dcterms:W3CDTF">2026-10-13T05:52:32Z</dcterms:modified>
</cp:coreProperties>
</file>